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de mora seu dinhei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;[Red]-R$ #,##0;&quot;—&quot;"/>
    <numFmt numFmtId="165" formatCode="0.0%;[Red]-0.0%"/>
  </numFmts>
  <fonts count="15">
    <font>
      <name val="Calibri"/>
      <family val="2"/>
      <color theme="1"/>
      <sz val="11"/>
      <scheme val="minor"/>
    </font>
    <font>
      <name val="Calibri"/>
      <b val="1"/>
      <color rgb="FFB86B3A"/>
      <sz val="9"/>
    </font>
    <font>
      <name val="Calibri"/>
      <b val="1"/>
      <color rgb="FF233853"/>
      <sz val="26"/>
    </font>
    <font>
      <name val="Calibri"/>
      <i val="1"/>
      <color rgb="FF6B7892"/>
      <sz val="11"/>
    </font>
    <font>
      <name val="Calibri"/>
      <color rgb="FF233853"/>
      <sz val="10"/>
    </font>
    <font>
      <name val="Calibri"/>
      <b val="1"/>
      <color rgb="FF6B7892"/>
      <sz val="9"/>
    </font>
    <font>
      <name val="Calibri"/>
      <color rgb="FF233853"/>
      <sz val="11"/>
    </font>
    <font>
      <name val="Calibri"/>
      <i val="1"/>
      <color rgb="FF6B7892"/>
      <sz val="9"/>
    </font>
    <font>
      <name val="Calibri"/>
      <b val="1"/>
      <color rgb="FF233853"/>
      <sz val="10"/>
    </font>
    <font>
      <name val="Calibri"/>
      <b val="1"/>
      <color rgb="FF233853"/>
      <sz val="11"/>
    </font>
    <font>
      <name val="Calibri"/>
      <b val="1"/>
      <color rgb="FFFAF7F0"/>
      <sz val="10"/>
    </font>
    <font>
      <name val="Calibri"/>
      <color rgb="FF6B7892"/>
      <sz val="9"/>
    </font>
    <font>
      <name val="Calibri"/>
      <b val="1"/>
      <color rgb="FFB86B3A"/>
      <sz val="14"/>
    </font>
    <font>
      <name val="Calibri"/>
      <color rgb="FF6B7892"/>
      <sz val="10"/>
    </font>
    <font>
      <name val="Calibri"/>
      <i val="1"/>
      <color rgb="FF6B7892"/>
      <sz val="8.5"/>
    </font>
  </fonts>
  <fills count="5">
    <fill>
      <patternFill/>
    </fill>
    <fill>
      <patternFill patternType="gray125"/>
    </fill>
    <fill>
      <patternFill patternType="solid">
        <fgColor rgb="FFEEE9DD"/>
      </patternFill>
    </fill>
    <fill>
      <patternFill patternType="solid">
        <fgColor rgb="FFFFF8DC"/>
      </patternFill>
    </fill>
    <fill>
      <patternFill patternType="solid">
        <fgColor rgb="FF233853"/>
      </patternFill>
    </fill>
  </fills>
  <borders count="4">
    <border>
      <left/>
      <right/>
      <top/>
      <bottom/>
      <diagonal/>
    </border>
    <border>
      <bottom style="medium">
        <color rgb="FF233853"/>
      </bottom>
    </border>
    <border>
      <bottom style="thin">
        <color rgb="FFD8D3C8"/>
      </bottom>
    </border>
    <border>
      <top style="thin">
        <color rgb="FF233853"/>
      </top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6" fillId="0" borderId="2" pivotButton="0" quotePrefix="0" xfId="0"/>
    <xf numFmtId="0" fontId="7" fillId="0" borderId="2" pivotButton="0" quotePrefix="0" xfId="0"/>
    <xf numFmtId="164" fontId="6" fillId="3" borderId="2" applyAlignment="1" pivotButton="0" quotePrefix="0" xfId="0">
      <alignment horizontal="right"/>
    </xf>
    <xf numFmtId="0" fontId="8" fillId="0" borderId="3" pivotButton="0" quotePrefix="0" xfId="0"/>
    <xf numFmtId="0" fontId="0" fillId="0" borderId="3" pivotButton="0" quotePrefix="0" xfId="0"/>
    <xf numFmtId="164" fontId="9" fillId="0" borderId="3" applyAlignment="1" pivotButton="0" quotePrefix="0" xfId="0">
      <alignment horizontal="right"/>
    </xf>
    <xf numFmtId="0" fontId="10" fillId="4" borderId="0" applyAlignment="1" pivotButton="0" quotePrefix="0" xfId="0">
      <alignment horizontal="left" vertical="center"/>
    </xf>
    <xf numFmtId="0" fontId="11" fillId="4" borderId="0" pivotButton="0" quotePrefix="0" xfId="0"/>
    <xf numFmtId="164" fontId="12" fillId="4" borderId="0" applyAlignment="1" pivotButton="0" quotePrefix="0" xfId="0">
      <alignment horizontal="right"/>
    </xf>
    <xf numFmtId="0" fontId="11" fillId="0" borderId="0" pivotButton="0" quotePrefix="0" xfId="0"/>
    <xf numFmtId="165" fontId="13" fillId="0" borderId="0" applyAlignment="1" pivotButton="0" quotePrefix="0" xfId="0">
      <alignment horizontal="right"/>
    </xf>
    <xf numFmtId="0" fontId="1" fillId="0" borderId="0" pivotButton="0" quotePrefix="0" xfId="0"/>
    <xf numFmtId="0" fontId="4" fillId="0" borderId="0" applyAlignment="1" pivotButton="0" quotePrefix="0" xfId="0">
      <alignment vertical="top" wrapText="1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4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6" customWidth="1" min="3" max="3"/>
    <col width="18" customWidth="1" min="4" max="4"/>
    <col width="4" customWidth="1" min="5" max="5"/>
  </cols>
  <sheetData>
    <row r="1" ht="30" customHeight="1"/>
    <row r="2">
      <c r="B2" s="1" t="inlineStr">
        <is>
          <t>§ MIDLEJ CAPITAL · MENTORIA</t>
        </is>
      </c>
    </row>
    <row r="3" ht="8" customHeight="1"/>
    <row r="4" ht="40" customHeight="1">
      <c r="B4" s="2" t="inlineStr">
        <is>
          <t>Onde mora seu dinheiro</t>
        </is>
      </c>
    </row>
    <row r="5" ht="18" customHeight="1">
      <c r="B5" s="3" t="inlineStr">
        <is>
          <t>Planilha estruturada de fluxo de caixa — médico PJ.</t>
        </is>
      </c>
    </row>
    <row r="6" ht="38" customHeight="1">
      <c r="B6" s="4" t="inlineStr">
        <is>
          <t>Preencha as caixas amarelas com os valores do seu mês típico. Os totais se movem sozinhos. O resultado em vermelho na linha 'Sobra' é o que está disponível para investir.</t>
        </is>
      </c>
    </row>
    <row r="7" ht="8" customHeight="1"/>
    <row r="8" ht="22" customHeight="1">
      <c r="B8" s="5" t="inlineStr">
        <is>
          <t>Categoria</t>
        </is>
      </c>
      <c r="C8" s="5" t="inlineStr">
        <is>
          <t>Detalhamento</t>
        </is>
      </c>
      <c r="D8" s="6" t="inlineStr">
        <is>
          <t>Valor mensal</t>
        </is>
      </c>
    </row>
    <row r="9" ht="22" customHeight="1">
      <c r="B9" s="7" t="inlineStr">
        <is>
          <t>§ ENTRADAS</t>
        </is>
      </c>
      <c r="C9" s="8" t="n"/>
      <c r="D9" s="8" t="n"/>
    </row>
    <row r="10" ht="22" customHeight="1">
      <c r="B10" s="9" t="inlineStr">
        <is>
          <t>Salário PJ (pro-labore + lucros)</t>
        </is>
      </c>
      <c r="C10" s="10" t="inlineStr">
        <is>
          <t>líquido depois de impostos PJ</t>
        </is>
      </c>
      <c r="D10" s="11" t="n">
        <v>28000</v>
      </c>
    </row>
    <row r="11" ht="22" customHeight="1">
      <c r="B11" s="9" t="inlineStr">
        <is>
          <t>Plantões e sobreaviso</t>
        </is>
      </c>
      <c r="C11" s="10" t="inlineStr">
        <is>
          <t>média dos últimos 6 meses</t>
        </is>
      </c>
      <c r="D11" s="11" t="n">
        <v>12000</v>
      </c>
    </row>
    <row r="12" ht="22" customHeight="1">
      <c r="B12" s="9" t="inlineStr">
        <is>
          <t>Consultórios / particular</t>
        </is>
      </c>
      <c r="C12" s="10" t="inlineStr">
        <is>
          <t>valor recebido em conta no mês típico</t>
        </is>
      </c>
      <c r="D12" s="11" t="n">
        <v>8000</v>
      </c>
    </row>
    <row r="13" ht="22" customHeight="1">
      <c r="B13" s="9" t="inlineStr">
        <is>
          <t>Outras rendas</t>
        </is>
      </c>
      <c r="C13" s="10" t="inlineStr">
        <is>
          <t>alugueres, dividendos, royalties</t>
        </is>
      </c>
      <c r="D13" s="11" t="n">
        <v>0</v>
      </c>
    </row>
    <row r="14" ht="26" customHeight="1">
      <c r="B14" s="12" t="inlineStr">
        <is>
          <t>Subtotal — Entradas</t>
        </is>
      </c>
      <c r="C14" s="13" t="n"/>
      <c r="D14" s="14">
        <f>SUM(D10:D13)</f>
        <v/>
      </c>
    </row>
    <row r="15" ht="14" customHeight="1"/>
    <row r="16" ht="22" customHeight="1">
      <c r="B16" s="7" t="inlineStr">
        <is>
          <t>§ CUSTOS FIXOS</t>
        </is>
      </c>
      <c r="C16" s="8" t="n"/>
      <c r="D16" s="8" t="n"/>
    </row>
    <row r="17" ht="22" customHeight="1">
      <c r="B17" s="9" t="inlineStr">
        <is>
          <t>Moradia</t>
        </is>
      </c>
      <c r="C17" s="10" t="inlineStr">
        <is>
          <t>aluguel/condomínio/IPTU/contas</t>
        </is>
      </c>
      <c r="D17" s="11" t="n">
        <v>8000</v>
      </c>
    </row>
    <row r="18" ht="22" customHeight="1">
      <c r="B18" s="9" t="inlineStr">
        <is>
          <t>Carro</t>
        </is>
      </c>
      <c r="C18" s="10" t="inlineStr">
        <is>
          <t>parcela, seguro, manutenção, combustível</t>
        </is>
      </c>
      <c r="D18" s="11" t="n">
        <v>3500</v>
      </c>
    </row>
    <row r="19" ht="22" customHeight="1">
      <c r="B19" s="9" t="inlineStr">
        <is>
          <t>Saúde da família</t>
        </is>
      </c>
      <c r="C19" s="10" t="inlineStr">
        <is>
          <t>plano de saúde, terapias, academia</t>
        </is>
      </c>
      <c r="D19" s="11" t="n">
        <v>2500</v>
      </c>
    </row>
    <row r="20" ht="22" customHeight="1">
      <c r="B20" s="9" t="inlineStr">
        <is>
          <t>Educação</t>
        </is>
      </c>
      <c r="C20" s="10" t="inlineStr">
        <is>
          <t>escola dos filhos, cursos, mensalidades</t>
        </is>
      </c>
      <c r="D20" s="11" t="n">
        <v>4500</v>
      </c>
    </row>
    <row r="21" ht="22" customHeight="1">
      <c r="B21" s="9" t="inlineStr">
        <is>
          <t>Funcionários / clínica</t>
        </is>
      </c>
      <c r="C21" s="10" t="inlineStr">
        <is>
          <t>salários, aluguel da sala, materiais</t>
        </is>
      </c>
      <c r="D21" s="11" t="n">
        <v>5000</v>
      </c>
    </row>
    <row r="22" ht="26" customHeight="1">
      <c r="B22" s="12" t="inlineStr">
        <is>
          <t>Subtotal — Custos fixos</t>
        </is>
      </c>
      <c r="C22" s="13" t="n"/>
      <c r="D22" s="14">
        <f>SUM(D17:D21)</f>
        <v/>
      </c>
    </row>
    <row r="23" ht="14" customHeight="1"/>
    <row r="24" ht="22" customHeight="1">
      <c r="B24" s="7" t="inlineStr">
        <is>
          <t>§ VARIÁVEIS</t>
        </is>
      </c>
      <c r="C24" s="8" t="n"/>
      <c r="D24" s="8" t="n"/>
    </row>
    <row r="25" ht="22" customHeight="1">
      <c r="B25" s="9" t="inlineStr">
        <is>
          <t>Alimentação</t>
        </is>
      </c>
      <c r="C25" s="10" t="inlineStr">
        <is>
          <t>mercado + restaurantes + delivery</t>
        </is>
      </c>
      <c r="D25" s="11" t="n">
        <v>3500</v>
      </c>
    </row>
    <row r="26" ht="22" customHeight="1">
      <c r="B26" s="9" t="inlineStr">
        <is>
          <t>Lazer e viagens</t>
        </is>
      </c>
      <c r="C26" s="10" t="inlineStr">
        <is>
          <t>rateio mensal das viagens do ano</t>
        </is>
      </c>
      <c r="D26" s="11" t="n">
        <v>5000</v>
      </c>
    </row>
    <row r="27" ht="22" customHeight="1">
      <c r="B27" s="9" t="inlineStr">
        <is>
          <t>Compras pessoais</t>
        </is>
      </c>
      <c r="C27" s="10" t="inlineStr">
        <is>
          <t>roupas, gadgets, presentes</t>
        </is>
      </c>
      <c r="D27" s="11" t="n">
        <v>2500</v>
      </c>
    </row>
    <row r="28" ht="22" customHeight="1">
      <c r="B28" s="9" t="inlineStr">
        <is>
          <t>Outros e imprevistos</t>
        </is>
      </c>
      <c r="C28" s="10" t="inlineStr">
        <is>
          <t>o que não cabe em lugar nenhum</t>
        </is>
      </c>
      <c r="D28" s="11" t="n">
        <v>2000</v>
      </c>
    </row>
    <row r="29" ht="26" customHeight="1">
      <c r="B29" s="12" t="inlineStr">
        <is>
          <t>Subtotal — Variáveis</t>
        </is>
      </c>
      <c r="C29" s="13" t="n"/>
      <c r="D29" s="14">
        <f>SUM(D25:D28)</f>
        <v/>
      </c>
    </row>
    <row r="30" ht="14" customHeight="1"/>
    <row r="32" ht="36" customHeight="1">
      <c r="B32" s="15" t="inlineStr">
        <is>
          <t>NO FIM DO MÊS</t>
        </is>
      </c>
      <c r="C32" s="16" t="inlineStr">
        <is>
          <t>SOBRA REAL</t>
        </is>
      </c>
      <c r="D32" s="17">
        <f>D14-D22-D29</f>
        <v/>
      </c>
    </row>
    <row r="33" ht="18" customHeight="1">
      <c r="B33" s="18" t="inlineStr">
        <is>
          <t>% da renda</t>
        </is>
      </c>
      <c r="D33" s="19">
        <f>D32/D14</f>
        <v/>
      </c>
    </row>
    <row r="35">
      <c r="B35" s="20" t="inlineStr">
        <is>
          <t>§ COMENTÁRIO DO AUDITOR</t>
        </is>
      </c>
    </row>
    <row r="36" ht="22" customHeight="1">
      <c r="B36" s="21" t="inlineStr">
        <is>
          <t>Sobra acima de 20% — está parado em algum lugar. Você tem capacidade ociosa de aporte.</t>
        </is>
      </c>
    </row>
    <row r="37" ht="22" customHeight="1">
      <c r="B37" s="21" t="inlineStr">
        <is>
          <t>Sobra entre 5% e 20% — apertado, mas saudável. O gargalo costuma estar em ‘variáveis’.</t>
        </is>
      </c>
    </row>
    <row r="38" ht="22" customHeight="1">
      <c r="B38" s="21" t="inlineStr">
        <is>
          <t>Sobra abaixo de 5% — não está sobrando, está vazando. Hora de revisar custo fixo.</t>
        </is>
      </c>
    </row>
    <row r="39" ht="22" customHeight="1">
      <c r="B39" s="21" t="inlineStr">
        <is>
          <t>Sobra negativa — você está consumindo patrimônio acumulado. Urgente revisar.</t>
        </is>
      </c>
    </row>
    <row r="41">
      <c r="B41" s="22" t="inlineStr">
        <is>
          <t>Midlej Capital · Mentoria — material informativo. Não constitui recomendação personalizada de investimentos.</t>
        </is>
      </c>
    </row>
  </sheetData>
  <mergeCells count="6">
    <mergeCell ref="B36:D36"/>
    <mergeCell ref="B37:D37"/>
    <mergeCell ref="B41:D41"/>
    <mergeCell ref="B39:D39"/>
    <mergeCell ref="B6:D6"/>
    <mergeCell ref="B38:D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2026-06-08T13:28:47Z</dcterms:created>
  <dcterms:modified xmlns:dcterms="http://purl.org/dc/terms/" xmlns:xsi="http://www.w3.org/2001/XMLSchema-instance" xsi:type="dcterms:W3CDTF">2026-06-08T13:28:47Z</dcterms:modified>
</cp:coreProperties>
</file>